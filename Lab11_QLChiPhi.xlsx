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ong\Hoc\BUOI11\"/>
    </mc:Choice>
  </mc:AlternateContent>
  <xr:revisionPtr revIDLastSave="0" documentId="8_{330E1CC3-B57C-4E65-9C56-CA9D881D234F}" xr6:coauthVersionLast="47" xr6:coauthVersionMax="47" xr10:uidLastSave="{00000000-0000-0000-0000-000000000000}"/>
  <bookViews>
    <workbookView xWindow="-108" yWindow="-108" windowWidth="23256" windowHeight="12456" activeTab="5" xr2:uid="{3EDDE9D7-FC49-4A7E-AABC-89EB32EDAE8D}"/>
  </bookViews>
  <sheets>
    <sheet name="Bài1" sheetId="1" r:id="rId1"/>
    <sheet name="Bài2" sheetId="2" r:id="rId2"/>
    <sheet name="Bài3" sheetId="3" r:id="rId3"/>
    <sheet name="Bài 4" sheetId="4" r:id="rId4"/>
    <sheet name="Bài 5" sheetId="6" r:id="rId5"/>
    <sheet name="Bài 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7" l="1"/>
  <c r="B11" i="7" s="1"/>
  <c r="F7" i="7"/>
  <c r="F6" i="7"/>
  <c r="F5" i="7"/>
  <c r="F4" i="7"/>
  <c r="F3" i="7"/>
  <c r="F2" i="7"/>
  <c r="E7" i="7"/>
  <c r="E5" i="7"/>
  <c r="E4" i="7"/>
  <c r="E3" i="7"/>
  <c r="E2" i="7"/>
  <c r="D7" i="7"/>
  <c r="C7" i="7"/>
  <c r="B7" i="7"/>
  <c r="D19" i="7"/>
  <c r="C12" i="6"/>
  <c r="C11" i="6"/>
  <c r="C10" i="6"/>
  <c r="C9" i="6" a="1"/>
  <c r="C9" i="6" s="1"/>
  <c r="C8" i="6"/>
  <c r="C10" i="4"/>
  <c r="C9" i="4"/>
  <c r="C8" i="4"/>
  <c r="C7" i="4"/>
  <c r="C6" i="4"/>
  <c r="C7" i="3"/>
  <c r="E5" i="3"/>
  <c r="E4" i="3"/>
  <c r="E3" i="3"/>
  <c r="E2" i="3"/>
  <c r="D5" i="3"/>
  <c r="D4" i="3"/>
  <c r="D3" i="3"/>
  <c r="D2" i="3"/>
  <c r="B15" i="2"/>
  <c r="B13" i="2"/>
  <c r="B12" i="2"/>
  <c r="F9" i="2"/>
  <c r="F10" i="2"/>
  <c r="F8" i="2"/>
  <c r="F5" i="2"/>
  <c r="F6" i="2"/>
  <c r="F4" i="2"/>
  <c r="C10" i="2"/>
  <c r="D10" i="2"/>
  <c r="E10" i="2"/>
  <c r="B10" i="2"/>
  <c r="C6" i="2"/>
  <c r="D6" i="2"/>
  <c r="E6" i="2"/>
  <c r="B6" i="2"/>
  <c r="G4" i="1"/>
  <c r="B14" i="1"/>
  <c r="G14" i="1" s="1"/>
  <c r="B7" i="1"/>
  <c r="G7" i="1" s="1"/>
  <c r="G12" i="1"/>
  <c r="G13" i="1"/>
  <c r="G11" i="1"/>
  <c r="G5" i="1"/>
  <c r="G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<sst xmlns="http://schemas.openxmlformats.org/spreadsheetml/2006/main" count="117" uniqueCount="95">
  <si>
    <t>PROJECT 1</t>
  </si>
  <si>
    <t>YEAR 1</t>
  </si>
  <si>
    <t>YEAR 2</t>
  </si>
  <si>
    <t>YEAR 3</t>
  </si>
  <si>
    <t>YEAR 4</t>
  </si>
  <si>
    <t>YEAR 5</t>
  </si>
  <si>
    <t>$-</t>
  </si>
  <si>
    <t>NPV</t>
  </si>
  <si>
    <t>PROJECT 2</t>
  </si>
  <si>
    <t>$ -</t>
  </si>
  <si>
    <t>TOTAL</t>
  </si>
  <si>
    <t>Vì NPV của project 2 &gt; project 1 ($3612 &gt; $2316) nên project 2 được chọn</t>
  </si>
  <si>
    <t>Total</t>
  </si>
  <si>
    <t>ROI</t>
  </si>
  <si>
    <t>Lợi Nhuận</t>
  </si>
  <si>
    <t>Giá</t>
  </si>
  <si>
    <t>Dòng tiền</t>
  </si>
  <si>
    <t>Năm</t>
  </si>
  <si>
    <t xml:space="preserve">Tổng chi phí lũy kế </t>
  </si>
  <si>
    <t>Tổng lợi ích lũy kế</t>
  </si>
  <si>
    <t xml:space="preserve">Lợi ích </t>
  </si>
  <si>
    <t xml:space="preserve">Chi phí </t>
  </si>
  <si>
    <t>Payback</t>
  </si>
  <si>
    <t>Chỉ số</t>
  </si>
  <si>
    <t>Ký hiệu</t>
  </si>
  <si>
    <t>Giá trị ($)</t>
  </si>
  <si>
    <t>Công thức</t>
  </si>
  <si>
    <t>Giá trị công việc theo kế hoạch</t>
  </si>
  <si>
    <t>BCWS</t>
  </si>
  <si>
    <t>Giá trị công việc dự kiến theo kế hoạch</t>
  </si>
  <si>
    <t>Giá trị công việc đã hoàn thành</t>
  </si>
  <si>
    <t>BCWP</t>
  </si>
  <si>
    <t>Giá trị công việc hoàn thành thực tế</t>
  </si>
  <si>
    <t>Chi phí thực tế đã chi</t>
  </si>
  <si>
    <t>ACWP</t>
  </si>
  <si>
    <t>Chi phí thực tế bỏ ra để hoàn thành</t>
  </si>
  <si>
    <t>Ngân sách kế hoạch toàn dự án</t>
  </si>
  <si>
    <t>BAC</t>
  </si>
  <si>
    <t>Tổng chi phí dự kiến cho toàn dự án</t>
  </si>
  <si>
    <t>Sai lệch chi phí</t>
  </si>
  <si>
    <t>CV</t>
  </si>
  <si>
    <t>CV = BCWP - ACWP → CV &lt; 0: Vượt ngân sách</t>
  </si>
  <si>
    <t>Sai lệch tiến độ</t>
  </si>
  <si>
    <t>SV</t>
  </si>
  <si>
    <t>SV = BCWP - BCWS → SV &lt; 0: Trễ tiến độ</t>
  </si>
  <si>
    <t>Chỉ số hiệu quả chi phí</t>
  </si>
  <si>
    <t>CPI</t>
  </si>
  <si>
    <t>CPI = BCWP / ACWP → CPI &lt; 1: Hiệu quả kém</t>
  </si>
  <si>
    <t>Chỉ số hiệu quả tiến độ</t>
  </si>
  <si>
    <t>SPI</t>
  </si>
  <si>
    <t>SPI = BCWP / BCWS → SPI &lt; 1: Trễ tiến độ</t>
  </si>
  <si>
    <t>Ước lượng thời gian hoàn thành (tháng)</t>
  </si>
  <si>
    <t>TEAC</t>
  </si>
  <si>
    <t>TEAC = Thời gian kế hoạch / SPI</t>
  </si>
  <si>
    <t>Tỷ lệ chiết khấu</t>
  </si>
  <si>
    <t>Giả sử dự án hoàn thành vào Năm 0</t>
  </si>
  <si>
    <t>Chi phí</t>
  </si>
  <si>
    <t>Hệ số chiết khấu</t>
  </si>
  <si>
    <t>Chi phí sau khi chiết khấu</t>
  </si>
  <si>
    <t>Lợi ích</t>
  </si>
  <si>
    <t>Lợi ích sau khi chiết khấu</t>
  </si>
  <si>
    <t>Lợi ích sau chiết khấu trừ chi phí</t>
  </si>
  <si>
    <t>Lợi ích tích lũy trừ chi phí</t>
  </si>
  <si>
    <t xml:space="preserve"> Hệ số chiết khấu</t>
  </si>
  <si>
    <t>% Hoàn tất</t>
  </si>
  <si>
    <t>Công việc</t>
  </si>
  <si>
    <t>Chi phí thực tế ($)</t>
  </si>
  <si>
    <t>Ghi chú</t>
  </si>
  <si>
    <t>100%</t>
  </si>
  <si>
    <t>Hoàn tất 100%</t>
  </si>
  <si>
    <t>50%</t>
  </si>
  <si>
    <t>Hoàn tất 50%</t>
  </si>
  <si>
    <t>Ngân sách mỗi công việc</t>
  </si>
  <si>
    <t>Số việc dự kiến sau 2 tuần</t>
  </si>
  <si>
    <t>PV (BCWS)</t>
  </si>
  <si>
    <t>EV (BCWP)</t>
  </si>
  <si>
    <t>AC (ACWP)</t>
  </si>
  <si>
    <t>BCWS (Tổng chi phí kế hoạch)</t>
  </si>
  <si>
    <t>BCWP (Giá trị KH khối lượng hoàn thành)</t>
  </si>
  <si>
    <t>ACWP (Chi phí thực tế)</t>
  </si>
  <si>
    <t>CPI = BCWP/ACWP</t>
  </si>
  <si>
    <t>SPI = BCWP/BCWS</t>
  </si>
  <si>
    <t>Thiết kế</t>
  </si>
  <si>
    <t>Sản xuất</t>
  </si>
  <si>
    <t>Thẩm định</t>
  </si>
  <si>
    <t>Lắp ráp</t>
  </si>
  <si>
    <t>Bán hàng</t>
  </si>
  <si>
    <t>Tổng cộng</t>
  </si>
  <si>
    <t>Thời lượng kế hoạch (tuần)</t>
  </si>
  <si>
    <t>SPI toàn dự án</t>
  </si>
  <si>
    <t>Ước lượng thời gian hoàn thành (TEAC, tuần)</t>
  </si>
  <si>
    <t>Chi phí KH/tuần (tr.đ)</t>
  </si>
  <si>
    <t>Số tuần thực hiện</t>
  </si>
  <si>
    <t>Chi phí (tr.đ)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</si>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</sst>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0.000"/>
  </numFmts>
  <fonts count="7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  <charset val="163"/>
      <scheme val="major"/>
    </font>
    <font>
      <sz val="13"/>
      <color theme="1"/>
      <name val="Times New Roman"/>
      <family val="1"/>
      <charset val="163"/>
      <scheme val="major"/>
    </font>
    <font>
      <b/>
      <sz val="13"/>
      <color theme="1"/>
      <name val="Times New Roman"/>
      <family val="1"/>
      <charset val="163"/>
      <scheme val="major"/>
    </font>
    <font>
      <b/>
      <sz val="11"/>
      <name val="Times New Roman"/>
      <family val="1"/>
      <charset val="163"/>
      <scheme val="major"/>
    </font>
    <font>
      <b/>
      <sz val="13"/>
      <name val="Times New Roman"/>
      <family val="1"/>
      <charset val="163"/>
      <scheme val="major"/>
    </font>
    <font>
      <b/>
      <sz val="11"/>
      <color theme="0"/>
      <name val="Times New Roman"/>
      <family val="1"/>
      <charset val="163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C00000"/>
        <bgColor rgb="FFFFF9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wrapText="1"/>
    </xf>
    <xf numFmtId="9" fontId="2" fillId="0" borderId="1" xfId="0" applyNumberFormat="1" applyFont="1" applyBorder="1" applyAlignment="1">
      <alignment horizontal="right" wrapText="1"/>
    </xf>
    <xf numFmtId="0" fontId="2" fillId="0" borderId="0" xfId="0" applyFont="1" applyBorder="1" applyAlignment="1">
      <alignment wrapText="1"/>
    </xf>
    <xf numFmtId="0" fontId="2" fillId="0" borderId="0" xfId="0" applyFont="1"/>
    <xf numFmtId="0" fontId="2" fillId="0" borderId="1" xfId="0" applyFont="1" applyFill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0" fontId="2" fillId="0" borderId="1" xfId="0" applyFont="1" applyBorder="1"/>
    <xf numFmtId="165" fontId="2" fillId="0" borderId="1" xfId="0" applyNumberFormat="1" applyFont="1" applyBorder="1" applyAlignment="1">
      <alignment wrapText="1"/>
    </xf>
    <xf numFmtId="164" fontId="2" fillId="0" borderId="1" xfId="0" applyNumberFormat="1" applyFont="1" applyBorder="1"/>
    <xf numFmtId="0" fontId="2" fillId="0" borderId="0" xfId="0" applyFont="1" applyFill="1" applyBorder="1" applyAlignment="1">
      <alignment wrapText="1"/>
    </xf>
    <xf numFmtId="166" fontId="2" fillId="0" borderId="1" xfId="0" applyNumberFormat="1" applyFont="1" applyBorder="1" applyAlignment="1">
      <alignment wrapText="1"/>
    </xf>
    <xf numFmtId="166" fontId="2" fillId="0" borderId="1" xfId="0" applyNumberFormat="1" applyFont="1" applyBorder="1" applyAlignment="1">
      <alignment horizontal="right" wrapText="1"/>
    </xf>
    <xf numFmtId="166" fontId="2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166" fontId="2" fillId="0" borderId="1" xfId="0" applyNumberFormat="1" applyFont="1" applyBorder="1"/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42ED-99D7-4197-BBFB-13651E925421}">
  <dimension ref="A1:G16"/>
  <sheetViews>
    <sheetView workbookViewId="0">
      <selection activeCell="G14" sqref="G14"/>
    </sheetView>
  </sheetViews>
  <sheetFormatPr defaultRowHeight="13.8" x14ac:dyDescent="0.25"/>
  <cols>
    <col min="1" max="1" width="18.8984375" customWidth="1"/>
    <col min="2" max="2" width="15" customWidth="1"/>
    <col min="3" max="3" width="15.09765625" customWidth="1"/>
    <col min="4" max="4" width="14.796875" customWidth="1"/>
    <col min="5" max="5" width="17.69921875" customWidth="1"/>
    <col min="6" max="6" width="16" customWidth="1"/>
    <col min="7" max="7" width="12.69921875" customWidth="1"/>
  </cols>
  <sheetData>
    <row r="1" spans="1:7" ht="33.6" x14ac:dyDescent="0.3">
      <c r="A1" s="3" t="s">
        <v>54</v>
      </c>
      <c r="B1" s="4">
        <v>0.1</v>
      </c>
      <c r="C1" s="5"/>
      <c r="D1" s="5"/>
      <c r="E1" s="5"/>
      <c r="F1" s="5"/>
      <c r="G1" s="6"/>
    </row>
    <row r="2" spans="1:7" ht="16.8" x14ac:dyDescent="0.3">
      <c r="A2" s="5"/>
      <c r="B2" s="5"/>
      <c r="C2" s="5"/>
      <c r="D2" s="5"/>
      <c r="E2" s="5"/>
      <c r="F2" s="5"/>
      <c r="G2" s="6"/>
    </row>
    <row r="3" spans="1:7" ht="16.8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7" t="s">
        <v>10</v>
      </c>
    </row>
    <row r="4" spans="1:7" ht="16.8" x14ac:dyDescent="0.3">
      <c r="A4" s="3" t="s">
        <v>14</v>
      </c>
      <c r="B4" s="3" t="s">
        <v>6</v>
      </c>
      <c r="C4" s="8">
        <v>2000</v>
      </c>
      <c r="D4" s="8">
        <v>3000</v>
      </c>
      <c r="E4" s="8">
        <v>4000</v>
      </c>
      <c r="F4" s="8">
        <v>5000</v>
      </c>
      <c r="G4" s="9">
        <f>SUM(B4:F4)</f>
        <v>14000</v>
      </c>
    </row>
    <row r="5" spans="1:7" ht="16.8" x14ac:dyDescent="0.3">
      <c r="A5" s="3" t="s">
        <v>15</v>
      </c>
      <c r="B5" s="8">
        <v>5000</v>
      </c>
      <c r="C5" s="8">
        <v>1000</v>
      </c>
      <c r="D5" s="8">
        <v>1000</v>
      </c>
      <c r="E5" s="8">
        <v>1000</v>
      </c>
      <c r="F5" s="8">
        <v>1000</v>
      </c>
      <c r="G5" s="9">
        <f t="shared" ref="G5:G7" si="0">SUM(B5:F5)</f>
        <v>9000</v>
      </c>
    </row>
    <row r="6" spans="1:7" ht="16.8" x14ac:dyDescent="0.3">
      <c r="A6" s="3" t="s">
        <v>16</v>
      </c>
      <c r="B6" s="8">
        <v>-5000</v>
      </c>
      <c r="C6" s="8">
        <v>1000</v>
      </c>
      <c r="D6" s="8">
        <v>2000</v>
      </c>
      <c r="E6" s="8">
        <v>3000</v>
      </c>
      <c r="F6" s="8">
        <v>4000</v>
      </c>
      <c r="G6" s="9">
        <f t="shared" si="0"/>
        <v>5000</v>
      </c>
    </row>
    <row r="7" spans="1:7" ht="16.8" x14ac:dyDescent="0.3">
      <c r="A7" s="3" t="s">
        <v>7</v>
      </c>
      <c r="B7" s="10">
        <f>NPV(B1, B6:F6)</f>
        <v>2316.346995672176</v>
      </c>
      <c r="C7" s="10"/>
      <c r="D7" s="10"/>
      <c r="E7" s="10"/>
      <c r="F7" s="10"/>
      <c r="G7" s="9">
        <f t="shared" si="0"/>
        <v>2316.346995672176</v>
      </c>
    </row>
    <row r="8" spans="1:7" ht="16.8" x14ac:dyDescent="0.3">
      <c r="A8" s="5"/>
      <c r="B8" s="5"/>
      <c r="C8" s="5"/>
      <c r="D8" s="5"/>
      <c r="E8" s="5"/>
      <c r="F8" s="5"/>
      <c r="G8" s="6"/>
    </row>
    <row r="9" spans="1:7" ht="16.8" x14ac:dyDescent="0.3">
      <c r="A9" s="5"/>
      <c r="B9" s="5"/>
      <c r="C9" s="5"/>
      <c r="D9" s="5"/>
      <c r="E9" s="5"/>
      <c r="F9" s="5"/>
      <c r="G9" s="6"/>
    </row>
    <row r="10" spans="1:7" ht="16.8" x14ac:dyDescent="0.3">
      <c r="A10" s="3" t="s">
        <v>8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7" t="s">
        <v>10</v>
      </c>
    </row>
    <row r="11" spans="1:7" ht="16.8" x14ac:dyDescent="0.3">
      <c r="A11" s="3" t="s">
        <v>14</v>
      </c>
      <c r="B11" s="8">
        <v>1000</v>
      </c>
      <c r="C11" s="8">
        <v>2000</v>
      </c>
      <c r="D11" s="8">
        <v>4000</v>
      </c>
      <c r="E11" s="8">
        <v>4000</v>
      </c>
      <c r="F11" s="8">
        <v>4000</v>
      </c>
      <c r="G11" s="11">
        <f>SUM(B11:F11)</f>
        <v>15000</v>
      </c>
    </row>
    <row r="12" spans="1:7" ht="16.8" x14ac:dyDescent="0.3">
      <c r="A12" s="3" t="s">
        <v>15</v>
      </c>
      <c r="B12" s="8">
        <v>2000</v>
      </c>
      <c r="C12" s="8">
        <v>2000</v>
      </c>
      <c r="D12" s="8">
        <v>2000</v>
      </c>
      <c r="E12" s="8">
        <v>2000</v>
      </c>
      <c r="F12" s="8">
        <v>2000</v>
      </c>
      <c r="G12" s="11">
        <f t="shared" ref="G12:G14" si="1">SUM(B12:F12)</f>
        <v>10000</v>
      </c>
    </row>
    <row r="13" spans="1:7" ht="16.8" x14ac:dyDescent="0.3">
      <c r="A13" s="3" t="s">
        <v>16</v>
      </c>
      <c r="B13" s="8">
        <v>-1000</v>
      </c>
      <c r="C13" s="3" t="s">
        <v>9</v>
      </c>
      <c r="D13" s="8">
        <v>2000</v>
      </c>
      <c r="E13" s="8">
        <v>2000</v>
      </c>
      <c r="F13" s="8">
        <v>2000</v>
      </c>
      <c r="G13" s="11">
        <f t="shared" si="1"/>
        <v>5000</v>
      </c>
    </row>
    <row r="14" spans="1:7" ht="16.8" x14ac:dyDescent="0.3">
      <c r="A14" s="3" t="s">
        <v>7</v>
      </c>
      <c r="B14" s="10">
        <f>NPV(B1, B13:F13)</f>
        <v>3612.4581654258582</v>
      </c>
      <c r="C14" s="10"/>
      <c r="D14" s="10"/>
      <c r="E14" s="10"/>
      <c r="F14" s="10"/>
      <c r="G14" s="11">
        <f t="shared" si="1"/>
        <v>3612.4581654258582</v>
      </c>
    </row>
    <row r="15" spans="1:7" ht="16.8" x14ac:dyDescent="0.3">
      <c r="A15" s="6"/>
      <c r="B15" s="6"/>
      <c r="C15" s="6"/>
      <c r="D15" s="6"/>
      <c r="E15" s="6"/>
      <c r="F15" s="6"/>
      <c r="G15" s="6"/>
    </row>
    <row r="16" spans="1:7" ht="18" customHeight="1" x14ac:dyDescent="0.3">
      <c r="A16" s="12" t="s">
        <v>11</v>
      </c>
      <c r="B16" s="12"/>
      <c r="C16" s="12"/>
      <c r="D16" s="12"/>
      <c r="E16" s="12"/>
      <c r="F16" s="12"/>
      <c r="G16" s="12"/>
    </row>
  </sheetData>
  <mergeCells count="1">
    <mergeCell ref="A16:G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D6B91-70FD-462A-8536-11D166820F70}">
  <dimension ref="A1:F15"/>
  <sheetViews>
    <sheetView workbookViewId="0">
      <selection activeCell="E12" sqref="E12"/>
    </sheetView>
  </sheetViews>
  <sheetFormatPr defaultRowHeight="13.8" x14ac:dyDescent="0.25"/>
  <cols>
    <col min="1" max="1" width="26.09765625" customWidth="1"/>
    <col min="2" max="2" width="13.8984375" customWidth="1"/>
    <col min="3" max="3" width="14.796875" customWidth="1"/>
    <col min="4" max="4" width="15" customWidth="1"/>
    <col min="5" max="5" width="15.59765625" customWidth="1"/>
    <col min="6" max="6" width="14.19921875" customWidth="1"/>
  </cols>
  <sheetData>
    <row r="1" spans="1:6" ht="16.8" x14ac:dyDescent="0.3">
      <c r="A1" s="13" t="s">
        <v>54</v>
      </c>
      <c r="B1" s="14">
        <v>0.08</v>
      </c>
      <c r="C1" s="13"/>
      <c r="D1" s="13"/>
      <c r="E1" s="13"/>
      <c r="F1" s="13"/>
    </row>
    <row r="2" spans="1:6" ht="16.8" x14ac:dyDescent="0.3">
      <c r="A2" s="15" t="s">
        <v>55</v>
      </c>
      <c r="B2" s="13"/>
      <c r="C2" s="13"/>
      <c r="D2" s="13"/>
      <c r="E2" s="13"/>
      <c r="F2" s="13"/>
    </row>
    <row r="3" spans="1:6" ht="16.8" x14ac:dyDescent="0.3">
      <c r="A3" s="13"/>
      <c r="B3" s="14">
        <v>0</v>
      </c>
      <c r="C3" s="14">
        <v>1</v>
      </c>
      <c r="D3" s="14">
        <v>2</v>
      </c>
      <c r="E3" s="14">
        <v>3</v>
      </c>
      <c r="F3" s="13" t="s">
        <v>12</v>
      </c>
    </row>
    <row r="4" spans="1:6" ht="16.8" x14ac:dyDescent="0.3">
      <c r="A4" s="13" t="s">
        <v>56</v>
      </c>
      <c r="B4" s="14">
        <v>140</v>
      </c>
      <c r="C4" s="14">
        <v>40</v>
      </c>
      <c r="D4" s="14">
        <v>40</v>
      </c>
      <c r="E4" s="14">
        <v>40</v>
      </c>
      <c r="F4" s="13">
        <f>SUM(B4:E4)</f>
        <v>260</v>
      </c>
    </row>
    <row r="5" spans="1:6" ht="16.8" x14ac:dyDescent="0.3">
      <c r="A5" s="13" t="s">
        <v>57</v>
      </c>
      <c r="B5" s="14">
        <v>1</v>
      </c>
      <c r="C5" s="13">
        <v>0.93</v>
      </c>
      <c r="D5" s="13">
        <v>0.86</v>
      </c>
      <c r="E5" s="13">
        <v>0.79</v>
      </c>
      <c r="F5" s="13">
        <f t="shared" ref="F5:F6" si="0">SUM(B5:E5)</f>
        <v>3.58</v>
      </c>
    </row>
    <row r="6" spans="1:6" ht="16.8" x14ac:dyDescent="0.3">
      <c r="A6" s="13" t="s">
        <v>58</v>
      </c>
      <c r="B6" s="13">
        <f>B4*B5</f>
        <v>140</v>
      </c>
      <c r="C6" s="13">
        <f t="shared" ref="C6:E6" si="1">C4*C5</f>
        <v>37.200000000000003</v>
      </c>
      <c r="D6" s="13">
        <f t="shared" si="1"/>
        <v>34.4</v>
      </c>
      <c r="E6" s="13">
        <f t="shared" si="1"/>
        <v>31.6</v>
      </c>
      <c r="F6" s="13">
        <f t="shared" si="0"/>
        <v>243.2</v>
      </c>
    </row>
    <row r="7" spans="1:6" ht="16.8" x14ac:dyDescent="0.3">
      <c r="A7" s="13"/>
      <c r="B7" s="13"/>
      <c r="C7" s="13"/>
      <c r="D7" s="13"/>
      <c r="E7" s="13"/>
      <c r="F7" s="13"/>
    </row>
    <row r="8" spans="1:6" ht="16.8" x14ac:dyDescent="0.3">
      <c r="A8" s="13" t="s">
        <v>59</v>
      </c>
      <c r="B8" s="13"/>
      <c r="C8" s="14">
        <v>200</v>
      </c>
      <c r="D8" s="14">
        <v>200</v>
      </c>
      <c r="E8" s="14">
        <v>200</v>
      </c>
      <c r="F8" s="13">
        <f>SUM(B8:E8)</f>
        <v>600</v>
      </c>
    </row>
    <row r="9" spans="1:6" ht="16.8" x14ac:dyDescent="0.3">
      <c r="A9" s="13" t="s">
        <v>63</v>
      </c>
      <c r="B9" s="14">
        <v>1</v>
      </c>
      <c r="C9" s="13">
        <v>0.93</v>
      </c>
      <c r="D9" s="13">
        <v>0.86</v>
      </c>
      <c r="E9" s="13">
        <v>0.79</v>
      </c>
      <c r="F9" s="13">
        <f t="shared" ref="F9:F10" si="2">SUM(B9:E9)</f>
        <v>3.58</v>
      </c>
    </row>
    <row r="10" spans="1:6" ht="16.8" x14ac:dyDescent="0.3">
      <c r="A10" s="15" t="s">
        <v>60</v>
      </c>
      <c r="B10" s="13">
        <f>B8*B9</f>
        <v>0</v>
      </c>
      <c r="C10" s="13">
        <f t="shared" ref="C10:E10" si="3">C8*C9</f>
        <v>186</v>
      </c>
      <c r="D10" s="13">
        <f t="shared" si="3"/>
        <v>172</v>
      </c>
      <c r="E10" s="13">
        <f t="shared" si="3"/>
        <v>158</v>
      </c>
      <c r="F10" s="13">
        <f t="shared" si="2"/>
        <v>516</v>
      </c>
    </row>
    <row r="11" spans="1:6" ht="16.8" x14ac:dyDescent="0.3">
      <c r="A11" s="13"/>
      <c r="B11" s="13"/>
      <c r="C11" s="13"/>
      <c r="D11" s="13"/>
      <c r="E11" s="13"/>
      <c r="F11" s="13"/>
    </row>
    <row r="12" spans="1:6" ht="16.8" x14ac:dyDescent="0.3">
      <c r="A12" s="15" t="s">
        <v>61</v>
      </c>
      <c r="B12" s="13">
        <f>F10-F6</f>
        <v>272.8</v>
      </c>
      <c r="C12" s="13"/>
      <c r="D12" s="13"/>
      <c r="E12" s="13"/>
      <c r="F12" s="13"/>
    </row>
    <row r="13" spans="1:6" ht="16.8" x14ac:dyDescent="0.3">
      <c r="A13" s="15" t="s">
        <v>62</v>
      </c>
      <c r="B13" s="13">
        <f>B12</f>
        <v>272.8</v>
      </c>
      <c r="C13" s="13"/>
      <c r="D13" s="13"/>
      <c r="E13" s="13"/>
      <c r="F13" s="13"/>
    </row>
    <row r="14" spans="1:6" ht="16.8" x14ac:dyDescent="0.3">
      <c r="A14" s="13"/>
      <c r="B14" s="13"/>
      <c r="C14" s="13"/>
      <c r="D14" s="13"/>
      <c r="E14" s="13"/>
      <c r="F14" s="13"/>
    </row>
    <row r="15" spans="1:6" ht="16.8" x14ac:dyDescent="0.3">
      <c r="A15" s="13" t="s">
        <v>13</v>
      </c>
      <c r="B15" s="13">
        <f>(F10-F6)/F6</f>
        <v>1.1217105263157896</v>
      </c>
      <c r="C15" s="13"/>
      <c r="D15" s="13"/>
      <c r="E15" s="13"/>
      <c r="F15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540A9-9FF5-4AA5-9EF6-017B03FDDC0E}">
  <dimension ref="A1:E7"/>
  <sheetViews>
    <sheetView workbookViewId="0">
      <selection activeCell="E17" sqref="E17"/>
    </sheetView>
  </sheetViews>
  <sheetFormatPr defaultRowHeight="16.8" x14ac:dyDescent="0.3"/>
  <cols>
    <col min="1" max="1" width="23.69921875" style="6" customWidth="1"/>
    <col min="2" max="2" width="14.3984375" style="6" customWidth="1"/>
    <col min="3" max="3" width="27" style="6" customWidth="1"/>
    <col min="4" max="4" width="25.796875" style="6" customWidth="1"/>
    <col min="5" max="5" width="23.3984375" style="6" customWidth="1"/>
    <col min="6" max="16384" width="8.796875" style="6"/>
  </cols>
  <sheetData>
    <row r="1" spans="1:5" x14ac:dyDescent="0.3">
      <c r="A1" s="18" t="s">
        <v>17</v>
      </c>
      <c r="B1" s="19" t="s">
        <v>21</v>
      </c>
      <c r="C1" s="19" t="s">
        <v>20</v>
      </c>
      <c r="D1" s="19" t="s">
        <v>18</v>
      </c>
      <c r="E1" s="19" t="s">
        <v>19</v>
      </c>
    </row>
    <row r="2" spans="1:5" x14ac:dyDescent="0.3">
      <c r="A2" s="16">
        <v>0</v>
      </c>
      <c r="B2" s="17">
        <v>140</v>
      </c>
      <c r="C2" s="17">
        <v>0</v>
      </c>
      <c r="D2" s="17">
        <f>B2</f>
        <v>140</v>
      </c>
      <c r="E2" s="17">
        <f>C2</f>
        <v>0</v>
      </c>
    </row>
    <row r="3" spans="1:5" x14ac:dyDescent="0.3">
      <c r="A3" s="16">
        <v>1</v>
      </c>
      <c r="B3" s="17">
        <v>37.200000000000003</v>
      </c>
      <c r="C3" s="17">
        <v>186</v>
      </c>
      <c r="D3" s="17">
        <f>D2+B3</f>
        <v>177.2</v>
      </c>
      <c r="E3" s="20">
        <f>E2+C3</f>
        <v>186</v>
      </c>
    </row>
    <row r="4" spans="1:5" x14ac:dyDescent="0.3">
      <c r="A4" s="16">
        <v>2</v>
      </c>
      <c r="B4" s="17">
        <v>34.4</v>
      </c>
      <c r="C4" s="17">
        <v>172</v>
      </c>
      <c r="D4" s="17">
        <f>D3+B4</f>
        <v>211.6</v>
      </c>
      <c r="E4" s="20">
        <f>E3+C4</f>
        <v>358</v>
      </c>
    </row>
    <row r="5" spans="1:5" x14ac:dyDescent="0.3">
      <c r="A5" s="16">
        <v>3</v>
      </c>
      <c r="B5" s="17">
        <v>31.6</v>
      </c>
      <c r="C5" s="17">
        <v>158</v>
      </c>
      <c r="D5" s="17">
        <f>D4+B5</f>
        <v>243.2</v>
      </c>
      <c r="E5" s="17">
        <f>E4+C5</f>
        <v>516</v>
      </c>
    </row>
    <row r="7" spans="1:5" x14ac:dyDescent="0.3">
      <c r="B7" s="6" t="s">
        <v>22</v>
      </c>
      <c r="C7" s="6">
        <f>0+(D2/E3)</f>
        <v>0.75268817204301075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01920-C946-4FDD-8AFF-C0BF8DE4D2DB}">
  <dimension ref="A1:D10"/>
  <sheetViews>
    <sheetView workbookViewId="0">
      <selection activeCell="D20" sqref="D20"/>
    </sheetView>
  </sheetViews>
  <sheetFormatPr defaultRowHeight="13.8" x14ac:dyDescent="0.25"/>
  <cols>
    <col min="1" max="1" width="42" customWidth="1"/>
    <col min="2" max="2" width="11" customWidth="1"/>
    <col min="3" max="3" width="15" customWidth="1"/>
    <col min="4" max="4" width="45" customWidth="1"/>
  </cols>
  <sheetData>
    <row r="1" spans="1:4" ht="16.8" x14ac:dyDescent="0.25">
      <c r="A1" s="21" t="s">
        <v>23</v>
      </c>
      <c r="B1" s="21" t="s">
        <v>24</v>
      </c>
      <c r="C1" s="21" t="s">
        <v>25</v>
      </c>
      <c r="D1" s="21" t="s">
        <v>26</v>
      </c>
    </row>
    <row r="2" spans="1:4" ht="16.8" x14ac:dyDescent="0.3">
      <c r="A2" s="9" t="s">
        <v>27</v>
      </c>
      <c r="B2" s="9" t="s">
        <v>28</v>
      </c>
      <c r="C2" s="9">
        <v>23000</v>
      </c>
      <c r="D2" s="9" t="s">
        <v>29</v>
      </c>
    </row>
    <row r="3" spans="1:4" ht="16.8" x14ac:dyDescent="0.3">
      <c r="A3" s="9" t="s">
        <v>30</v>
      </c>
      <c r="B3" s="9" t="s">
        <v>31</v>
      </c>
      <c r="C3" s="9">
        <v>20000</v>
      </c>
      <c r="D3" s="9" t="s">
        <v>32</v>
      </c>
    </row>
    <row r="4" spans="1:4" ht="16.8" x14ac:dyDescent="0.3">
      <c r="A4" s="9" t="s">
        <v>33</v>
      </c>
      <c r="B4" s="9" t="s">
        <v>34</v>
      </c>
      <c r="C4" s="9">
        <v>25000</v>
      </c>
      <c r="D4" s="9" t="s">
        <v>35</v>
      </c>
    </row>
    <row r="5" spans="1:4" ht="16.8" x14ac:dyDescent="0.3">
      <c r="A5" s="9" t="s">
        <v>36</v>
      </c>
      <c r="B5" s="9" t="s">
        <v>37</v>
      </c>
      <c r="C5" s="9">
        <v>120000</v>
      </c>
      <c r="D5" s="9" t="s">
        <v>38</v>
      </c>
    </row>
    <row r="6" spans="1:4" ht="16.8" x14ac:dyDescent="0.3">
      <c r="A6" s="9" t="s">
        <v>39</v>
      </c>
      <c r="B6" s="9" t="s">
        <v>40</v>
      </c>
      <c r="C6" s="9">
        <f>C3-C4</f>
        <v>-5000</v>
      </c>
      <c r="D6" s="9" t="s">
        <v>41</v>
      </c>
    </row>
    <row r="7" spans="1:4" ht="16.8" x14ac:dyDescent="0.3">
      <c r="A7" s="9" t="s">
        <v>42</v>
      </c>
      <c r="B7" s="9" t="s">
        <v>43</v>
      </c>
      <c r="C7" s="9">
        <f>C3-C2</f>
        <v>-3000</v>
      </c>
      <c r="D7" s="9" t="s">
        <v>44</v>
      </c>
    </row>
    <row r="8" spans="1:4" ht="16.8" x14ac:dyDescent="0.3">
      <c r="A8" s="9" t="s">
        <v>45</v>
      </c>
      <c r="B8" s="9" t="s">
        <v>46</v>
      </c>
      <c r="C8" s="9">
        <f>C3/C4</f>
        <v>0.8</v>
      </c>
      <c r="D8" s="9" t="s">
        <v>47</v>
      </c>
    </row>
    <row r="9" spans="1:4" ht="16.8" x14ac:dyDescent="0.3">
      <c r="A9" s="9" t="s">
        <v>48</v>
      </c>
      <c r="B9" s="9" t="s">
        <v>49</v>
      </c>
      <c r="C9" s="9">
        <f>C3/C2</f>
        <v>0.86956521739130432</v>
      </c>
      <c r="D9" s="9" t="s">
        <v>50</v>
      </c>
    </row>
    <row r="10" spans="1:4" ht="16.8" x14ac:dyDescent="0.3">
      <c r="A10" s="9" t="s">
        <v>51</v>
      </c>
      <c r="B10" s="9" t="s">
        <v>52</v>
      </c>
      <c r="C10" s="9">
        <f>12/C8</f>
        <v>15</v>
      </c>
      <c r="D10" s="9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0C8ED-9536-45C6-91D0-5F76FA03051B}">
  <dimension ref="A1:D12"/>
  <sheetViews>
    <sheetView workbookViewId="0">
      <selection activeCell="I5" sqref="I5"/>
    </sheetView>
  </sheetViews>
  <sheetFormatPr defaultRowHeight="13.8" x14ac:dyDescent="0.25"/>
  <cols>
    <col min="1" max="1" width="29" customWidth="1"/>
    <col min="2" max="2" width="28" customWidth="1"/>
    <col min="3" max="3" width="22" customWidth="1"/>
    <col min="4" max="4" width="16" customWidth="1"/>
  </cols>
  <sheetData>
    <row r="1" spans="1:4" ht="16.8" x14ac:dyDescent="0.25">
      <c r="A1" s="22" t="s">
        <v>65</v>
      </c>
      <c r="B1" s="22" t="s">
        <v>64</v>
      </c>
      <c r="C1" s="22" t="s">
        <v>66</v>
      </c>
      <c r="D1" s="22" t="s">
        <v>67</v>
      </c>
    </row>
    <row r="2" spans="1:4" ht="16.8" x14ac:dyDescent="0.3">
      <c r="A2" s="9">
        <v>1</v>
      </c>
      <c r="B2" s="9" t="s">
        <v>68</v>
      </c>
      <c r="C2" s="9">
        <v>40</v>
      </c>
      <c r="D2" s="9" t="s">
        <v>69</v>
      </c>
    </row>
    <row r="3" spans="1:4" ht="16.8" x14ac:dyDescent="0.3">
      <c r="A3" s="9">
        <v>2</v>
      </c>
      <c r="B3" s="9" t="s">
        <v>68</v>
      </c>
      <c r="C3" s="9">
        <v>35</v>
      </c>
      <c r="D3" s="9" t="s">
        <v>69</v>
      </c>
    </row>
    <row r="4" spans="1:4" ht="16.8" x14ac:dyDescent="0.3">
      <c r="A4" s="9">
        <v>3</v>
      </c>
      <c r="B4" s="9" t="s">
        <v>70</v>
      </c>
      <c r="C4" s="9">
        <v>20</v>
      </c>
      <c r="D4" s="9" t="s">
        <v>71</v>
      </c>
    </row>
    <row r="5" spans="1:4" ht="16.8" x14ac:dyDescent="0.3">
      <c r="A5" s="9"/>
      <c r="B5" s="9"/>
      <c r="C5" s="9"/>
      <c r="D5" s="9"/>
    </row>
    <row r="6" spans="1:4" ht="16.8" x14ac:dyDescent="0.3">
      <c r="A6" s="9" t="s">
        <v>72</v>
      </c>
      <c r="B6" s="9"/>
      <c r="C6" s="9">
        <v>30</v>
      </c>
      <c r="D6" s="9"/>
    </row>
    <row r="7" spans="1:4" ht="16.8" x14ac:dyDescent="0.3">
      <c r="A7" s="9" t="s">
        <v>73</v>
      </c>
      <c r="B7" s="9"/>
      <c r="C7" s="9">
        <v>4</v>
      </c>
      <c r="D7" s="9"/>
    </row>
    <row r="8" spans="1:4" ht="16.8" x14ac:dyDescent="0.3">
      <c r="A8" s="9" t="s">
        <v>74</v>
      </c>
      <c r="B8" s="9"/>
      <c r="C8" s="9">
        <f>C6*C7</f>
        <v>120</v>
      </c>
      <c r="D8" s="9"/>
    </row>
    <row r="9" spans="1:4" ht="16.8" x14ac:dyDescent="0.3">
      <c r="A9" s="9" t="s">
        <v>75</v>
      </c>
      <c r="B9" s="9"/>
      <c r="C9" s="9" cm="1">
        <f t="array" ref="C9">SUMPRODUCT({1;1;0.5}*30)</f>
        <v>75</v>
      </c>
      <c r="D9" s="9"/>
    </row>
    <row r="10" spans="1:4" ht="16.8" x14ac:dyDescent="0.3">
      <c r="A10" s="9" t="s">
        <v>76</v>
      </c>
      <c r="B10" s="9"/>
      <c r="C10" s="9">
        <f>SUM(C2:C4)</f>
        <v>95</v>
      </c>
      <c r="D10" s="9"/>
    </row>
    <row r="11" spans="1:4" ht="16.8" x14ac:dyDescent="0.3">
      <c r="A11" s="9" t="s">
        <v>46</v>
      </c>
      <c r="B11" s="9"/>
      <c r="C11" s="9">
        <f>C9/C10</f>
        <v>0.78947368421052633</v>
      </c>
      <c r="D11" s="9"/>
    </row>
    <row r="12" spans="1:4" ht="16.8" x14ac:dyDescent="0.3">
      <c r="A12" s="9" t="s">
        <v>49</v>
      </c>
      <c r="B12" s="9"/>
      <c r="C12" s="9">
        <f>C9/C8</f>
        <v>0.625</v>
      </c>
      <c r="D12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1EF0E-92FE-4FA4-81E9-BC2C05318EBA}">
  <dimension ref="A1:F19"/>
  <sheetViews>
    <sheetView tabSelected="1" workbookViewId="0">
      <selection activeCell="D11" sqref="D11"/>
    </sheetView>
  </sheetViews>
  <sheetFormatPr defaultRowHeight="13.8" x14ac:dyDescent="0.25"/>
  <cols>
    <col min="1" max="1" width="14.69921875" style="1" customWidth="1"/>
    <col min="2" max="2" width="39.19921875" style="1" customWidth="1"/>
    <col min="3" max="3" width="39.09765625" style="1" customWidth="1"/>
    <col min="4" max="4" width="25.296875" style="1" customWidth="1"/>
    <col min="5" max="5" width="27.59765625" style="1" customWidth="1"/>
    <col min="6" max="6" width="22.296875" style="1" customWidth="1"/>
    <col min="7" max="16384" width="8.796875" style="1"/>
  </cols>
  <sheetData>
    <row r="1" spans="1:6" x14ac:dyDescent="0.25">
      <c r="A1" s="23" t="s">
        <v>65</v>
      </c>
      <c r="B1" s="23" t="s">
        <v>77</v>
      </c>
      <c r="C1" s="23" t="s">
        <v>78</v>
      </c>
      <c r="D1" s="23" t="s">
        <v>79</v>
      </c>
      <c r="E1" s="23" t="s">
        <v>80</v>
      </c>
      <c r="F1" s="23" t="s">
        <v>81</v>
      </c>
    </row>
    <row r="2" spans="1:6" x14ac:dyDescent="0.25">
      <c r="A2" s="2" t="s">
        <v>82</v>
      </c>
      <c r="B2" s="2">
        <v>4</v>
      </c>
      <c r="C2" s="2">
        <v>5</v>
      </c>
      <c r="D2" s="2">
        <v>5</v>
      </c>
      <c r="E2" s="2">
        <f>IF(D2=0,"",C2/D2)</f>
        <v>1</v>
      </c>
      <c r="F2" s="2">
        <f>IF(B2=0,"",C2/B2)</f>
        <v>1.25</v>
      </c>
    </row>
    <row r="3" spans="1:6" x14ac:dyDescent="0.25">
      <c r="A3" s="2" t="s">
        <v>83</v>
      </c>
      <c r="B3" s="2">
        <v>6</v>
      </c>
      <c r="C3" s="2">
        <v>7</v>
      </c>
      <c r="D3" s="2">
        <v>7</v>
      </c>
      <c r="E3" s="2">
        <f>IF(D3=0,"",C3/D3)</f>
        <v>1</v>
      </c>
      <c r="F3" s="2">
        <f>IF(B3=0,"",C3/B3)</f>
        <v>1.1666666666666667</v>
      </c>
    </row>
    <row r="4" spans="1:6" x14ac:dyDescent="0.25">
      <c r="A4" s="2" t="s">
        <v>84</v>
      </c>
      <c r="B4" s="2">
        <v>7.5</v>
      </c>
      <c r="C4" s="2">
        <v>5</v>
      </c>
      <c r="D4" s="2">
        <v>7</v>
      </c>
      <c r="E4" s="2">
        <f>IF(D4=0,"",C4/D4)</f>
        <v>0.7142857142857143</v>
      </c>
      <c r="F4" s="2">
        <f>IF(B4=0,"",C4/B4)</f>
        <v>0.66666666666666663</v>
      </c>
    </row>
    <row r="5" spans="1:6" x14ac:dyDescent="0.25">
      <c r="A5" s="2" t="s">
        <v>85</v>
      </c>
      <c r="B5" s="2">
        <v>6</v>
      </c>
      <c r="C5" s="2">
        <v>0</v>
      </c>
      <c r="D5" s="2">
        <v>0</v>
      </c>
      <c r="E5" s="2" t="str">
        <f>IF(D5=0,"",C5/D5)</f>
        <v/>
      </c>
      <c r="F5" s="2">
        <f>IF(B5=0,"",C5/B5)</f>
        <v>0</v>
      </c>
    </row>
    <row r="6" spans="1:6" x14ac:dyDescent="0.25">
      <c r="A6" s="2" t="s">
        <v>86</v>
      </c>
      <c r="B6" s="2">
        <v>8</v>
      </c>
      <c r="C6" s="2">
        <v>0</v>
      </c>
      <c r="D6" s="2">
        <v>0</v>
      </c>
      <c r="E6" s="2"/>
      <c r="F6" s="2">
        <f>IF(B6=0,"",C6/B6)</f>
        <v>0</v>
      </c>
    </row>
    <row r="7" spans="1:6" x14ac:dyDescent="0.25">
      <c r="A7" s="24" t="s">
        <v>87</v>
      </c>
      <c r="B7" s="2">
        <f>B3+B2+B4+B5+B6</f>
        <v>31.5</v>
      </c>
      <c r="C7" s="2">
        <f>C2+C3+C4</f>
        <v>17</v>
      </c>
      <c r="D7" s="2">
        <f>D2+D3+D4</f>
        <v>19</v>
      </c>
      <c r="E7" s="2">
        <f>IF(D7=0,"",C7/D7)</f>
        <v>0.89473684210526316</v>
      </c>
      <c r="F7" s="2">
        <f>IF(B7=0,"",C7/B7)</f>
        <v>0.53968253968253965</v>
      </c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4" t="s">
        <v>88</v>
      </c>
      <c r="B9" s="2">
        <v>12</v>
      </c>
      <c r="C9" s="2"/>
      <c r="D9" s="2"/>
      <c r="E9" s="2"/>
      <c r="F9" s="2"/>
    </row>
    <row r="10" spans="1:6" x14ac:dyDescent="0.25">
      <c r="A10" s="24" t="s">
        <v>89</v>
      </c>
      <c r="B10" s="2">
        <f>F7</f>
        <v>0.53968253968253965</v>
      </c>
      <c r="C10" s="2"/>
      <c r="D10" s="2"/>
      <c r="E10" s="2"/>
      <c r="F10" s="2"/>
    </row>
    <row r="11" spans="1:6" x14ac:dyDescent="0.25">
      <c r="A11" s="24" t="s">
        <v>90</v>
      </c>
      <c r="B11" s="2">
        <f>B9/B10</f>
        <v>22.235294117647062</v>
      </c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3" t="s">
        <v>65</v>
      </c>
      <c r="B13" s="23" t="s">
        <v>91</v>
      </c>
      <c r="C13" s="23" t="s">
        <v>92</v>
      </c>
      <c r="D13" s="23" t="s">
        <v>93</v>
      </c>
      <c r="E13" s="2"/>
      <c r="F13" s="2"/>
    </row>
    <row r="14" spans="1:6" x14ac:dyDescent="0.25">
      <c r="A14" s="2" t="s">
        <v>82</v>
      </c>
      <c r="B14" s="2">
        <v>2</v>
      </c>
      <c r="C14" s="2">
        <v>2</v>
      </c>
      <c r="D14" s="2">
        <v>4</v>
      </c>
      <c r="E14" s="2"/>
      <c r="F14" s="2"/>
    </row>
    <row r="15" spans="1:6" x14ac:dyDescent="0.25">
      <c r="A15" s="2" t="s">
        <v>83</v>
      </c>
      <c r="B15" s="2">
        <v>3</v>
      </c>
      <c r="C15" s="2">
        <v>2</v>
      </c>
      <c r="D15" s="2">
        <v>6</v>
      </c>
      <c r="E15" s="2"/>
      <c r="F15" s="2"/>
    </row>
    <row r="16" spans="1:6" x14ac:dyDescent="0.25">
      <c r="A16" s="2" t="s">
        <v>84</v>
      </c>
      <c r="B16" s="2">
        <v>2.5</v>
      </c>
      <c r="C16" s="2">
        <v>3</v>
      </c>
      <c r="D16" s="2">
        <v>7.5</v>
      </c>
      <c r="E16" s="2"/>
      <c r="F16" s="2"/>
    </row>
    <row r="17" spans="1:6" x14ac:dyDescent="0.25">
      <c r="A17" s="2" t="s">
        <v>85</v>
      </c>
      <c r="B17" s="2">
        <v>3</v>
      </c>
      <c r="C17" s="2">
        <v>2</v>
      </c>
      <c r="D17" s="2">
        <v>6</v>
      </c>
      <c r="E17" s="2"/>
      <c r="F17" s="2"/>
    </row>
    <row r="18" spans="1:6" x14ac:dyDescent="0.25">
      <c r="A18" s="2" t="s">
        <v>86</v>
      </c>
      <c r="B18" s="2">
        <v>2</v>
      </c>
      <c r="C18" s="2">
        <v>4</v>
      </c>
      <c r="D18" s="2">
        <v>8</v>
      </c>
      <c r="E18" s="2"/>
      <c r="F18" s="2"/>
    </row>
    <row r="19" spans="1:6" x14ac:dyDescent="0.25">
      <c r="A19" s="24" t="s">
        <v>94</v>
      </c>
      <c r="B19" s="2"/>
      <c r="C19" s="2"/>
      <c r="D19" s="2">
        <f>D14+D15+D16+D17+D18</f>
        <v>31.5</v>
      </c>
      <c r="E19" s="2"/>
      <c r="F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6</vt:i4>
      </vt:variant>
    </vt:vector>
  </HeadingPairs>
  <TitlesOfParts>
    <vt:vector size="6" baseType="lpstr">
      <vt:lpstr>Bài1</vt:lpstr>
      <vt:lpstr>Bài2</vt:lpstr>
      <vt:lpstr>Bài3</vt:lpstr>
      <vt:lpstr>Bài 4</vt:lpstr>
      <vt:lpstr>Bài 5</vt:lpstr>
      <vt:lpstr>Bài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Lê Trí</dc:creator>
  <cp:lastModifiedBy>Nguyên Dương</cp:lastModifiedBy>
  <dcterms:created xsi:type="dcterms:W3CDTF">2025-11-10T08:42:31Z</dcterms:created>
  <dcterms:modified xsi:type="dcterms:W3CDTF">2025-11-10T10:11:03Z</dcterms:modified>
</cp:coreProperties>
</file>